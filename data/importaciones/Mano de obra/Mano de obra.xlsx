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Mano de Obra" state="visible" r:id="rId4"/>
  </sheets>
  <definedNames>
    <definedName name="_xlnm.Print_Area" localSheetId="0">'Mano de Obra'!$A1:$M52</definedName>
  </definedNames>
  <calcPr calcId="171027"/>
</workbook>
</file>

<file path=xl/sharedStrings.xml><?xml version="1.0" encoding="utf-8"?>
<sst xmlns="http://schemas.openxmlformats.org/spreadsheetml/2006/main" count="69" uniqueCount="53">
  <si>
    <t>ESTRUCTURA DE COSTOS</t>
  </si>
  <si>
    <t>HORARIO</t>
  </si>
  <si>
    <t>DESCRIPCION</t>
  </si>
  <si>
    <t>COSTO MES</t>
  </si>
  <si>
    <t>LIQUIDACIÓN DE HORAS</t>
  </si>
  <si>
    <t>Horas semanales</t>
  </si>
  <si>
    <t>Rec. noct.</t>
  </si>
  <si>
    <t>Extra diurna</t>
  </si>
  <si>
    <t>Extra nocturna</t>
  </si>
  <si>
    <t>Dom.-Fest.</t>
  </si>
  <si>
    <t>Extra festiva</t>
  </si>
  <si>
    <t>Extra fest. noct.</t>
  </si>
  <si>
    <t>Rec. noct.-fest.</t>
  </si>
  <si>
    <t>Salario básico mensual por trabajador</t>
  </si>
  <si>
    <t>Horas</t>
  </si>
  <si>
    <t>Bono prestacional</t>
  </si>
  <si>
    <t>Valor de la hora</t>
  </si>
  <si>
    <t>Costo mensual</t>
  </si>
  <si>
    <t>Recargos y horas extras por trabajador</t>
  </si>
  <si>
    <t xml:space="preserve">Auxilio de transporte </t>
  </si>
  <si>
    <t>Subtotal salarial por trabajador</t>
  </si>
  <si>
    <t xml:space="preserve">    PRESTACIONES SOCIALES</t>
  </si>
  <si>
    <t>%</t>
  </si>
  <si>
    <t>Cesantías</t>
  </si>
  <si>
    <t>Prima de servicios</t>
  </si>
  <si>
    <t>Vacaciones</t>
  </si>
  <si>
    <t>Intereses de cesantías</t>
  </si>
  <si>
    <t>Total prestaciones</t>
  </si>
  <si>
    <t>SEGURIDAD SOCIAL</t>
  </si>
  <si>
    <t>Salud</t>
  </si>
  <si>
    <t>Pensión</t>
  </si>
  <si>
    <t>ARL</t>
  </si>
  <si>
    <t>Total seguridad social</t>
  </si>
  <si>
    <t>APORTES PARAFISCALES</t>
  </si>
  <si>
    <t>Caja de compensación</t>
  </si>
  <si>
    <t>SENA</t>
  </si>
  <si>
    <t>ICBF</t>
  </si>
  <si>
    <t>Total aportes parafiscales</t>
  </si>
  <si>
    <t>OTROS COSTOS</t>
  </si>
  <si>
    <t>Dotación</t>
  </si>
  <si>
    <t>EPP</t>
  </si>
  <si>
    <t>Exámenes Medicos</t>
  </si>
  <si>
    <t>Cursos</t>
  </si>
  <si>
    <t>Vacunas</t>
  </si>
  <si>
    <t>Total otros costos</t>
  </si>
  <si>
    <t>BONOS NO PRESTACIONALES</t>
  </si>
  <si>
    <t>Bono Alimentación</t>
  </si>
  <si>
    <t>Bono de transporte adicional</t>
  </si>
  <si>
    <t>Bono Productividad</t>
  </si>
  <si>
    <t>Bono Ocasional</t>
  </si>
  <si>
    <t>Total bonos no prestacionales</t>
  </si>
  <si>
    <t>Costo laboral mensual por trabajador</t>
  </si>
  <si>
    <t>Cantidad de trabajadores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</si>
</sst>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 &quot;#,##0;-&quot;$ &quot;#,##0;&quot;$ &quot;-;@"/>
    <numFmt numFmtId="165" formatCode="&quot;$ &quot;#,##0.00;-&quot;$ &quot;#,##0.00;&quot;$ &quot;-;@"/>
    <numFmt numFmtId="166" formatCode="_-* #,##0.00_-;-* #,##0.00_-;_-* &quot;-&quot;??_-;_-@_-"/>
    <numFmt numFmtId="167" formatCode="_-* #,##0.000_-;-* #,##0.000_-;_-* &quot;-&quot;???_-;_-@_-"/>
    <numFmt numFmtId="168" formatCode="_-* #,##0_-;-* #,##0_-;_-* &quot;-&quot;_-;_-@_-"/>
  </numFmts>
  <fonts count="7" x14ac:knownFonts="1">
    <font>
      <color theme="1"/>
      <family val="2"/>
      <scheme val="minor"/>
      <sz val="11"/>
      <name val="Calibri"/>
    </font>
    <font>
      <family val="2"/>
      <sz val="10"/>
      <name val="Calibri"/>
    </font>
    <font>
      <b/>
      <color theme="0"/>
      <family val="2"/>
      <sz val="10"/>
      <name val="Calibri"/>
    </font>
    <font>
      <b/>
      <family val="2"/>
      <sz val="10"/>
      <name val="Calibri"/>
    </font>
    <font>
      <color theme="1"/>
      <family val="2"/>
      <sz val="10"/>
      <name val="Calibri"/>
    </font>
    <font>
      <b/>
      <color rgb="FFFFFFFF"/>
      <family val="2"/>
      <sz val="10"/>
      <name val="Calibri"/>
    </font>
    <font>
      <color indexed="8"/>
      <family val="2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167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center" vertical="center" wrapText="1"/>
    </xf>
    <xf numFmtId="168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workbookViewId="0" showGridLines="0" zoomScale="90" zoomScaleNormal="90">
      <selection activeCell="E21" sqref="E21"/>
    </sheetView>
  </sheetViews>
  <sheetFormatPr defaultRowHeight="13" outlineLevelRow="0" outlineLevelCol="0" x14ac:dyDescent="0.3" defaultColWidth="11.453125" customHeight="1"/>
  <cols>
    <col min="1" max="1" width="47.54296875" style="1" customWidth="1"/>
    <col min="2" max="2" width="17.26953125" style="1" customWidth="1"/>
    <col min="3" max="3" width="18.54296875" style="1" customWidth="1"/>
    <col min="4" max="4" width="12.54296875" style="1" customWidth="1"/>
    <col min="5" max="5" width="19.1796875" style="1" customWidth="1"/>
    <col min="6" max="6" width="13.453125" style="1" customWidth="1"/>
    <col min="7" max="13" width="13" style="1" customWidth="1"/>
    <col min="14" max="16384" width="11.453125" style="1" customWidth="1"/>
  </cols>
  <sheetData>
    <row r="1" spans="1:13" x14ac:dyDescent="0.25">
      <c r="A1" s="2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/>
      <c r="B2" s="5"/>
      <c r="C2" s="5"/>
      <c r="D2" s="3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2" t="s">
        <v>1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6"/>
      <c r="B4" s="6"/>
      <c r="C4" s="6"/>
      <c r="D4" s="3"/>
      <c r="E4" s="4"/>
      <c r="F4" s="4"/>
      <c r="G4" s="4"/>
      <c r="H4" s="4"/>
      <c r="I4" s="4"/>
      <c r="J4" s="4"/>
      <c r="K4" s="4"/>
      <c r="L4" s="4"/>
      <c r="M4" s="4"/>
    </row>
    <row r="5" ht="26" customHeight="1" spans="1:13" x14ac:dyDescent="0.25">
      <c r="A5" s="7" t="s">
        <v>2</v>
      </c>
      <c r="B5" s="7"/>
      <c r="C5" s="8" t="s">
        <v>3</v>
      </c>
      <c r="D5" s="9"/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</row>
    <row r="6" spans="1:13" x14ac:dyDescent="0.25">
      <c r="A6" s="10" t="s">
        <v>13</v>
      </c>
      <c r="B6" s="10"/>
      <c r="C6" s="11"/>
      <c r="D6" s="12"/>
      <c r="E6" s="13" t="s">
        <v>14</v>
      </c>
      <c r="F6" s="14"/>
      <c r="G6" s="14"/>
      <c r="H6" s="14"/>
      <c r="I6" s="14"/>
      <c r="J6" s="14"/>
      <c r="K6" s="14"/>
      <c r="L6" s="14"/>
      <c r="M6" s="14"/>
    </row>
    <row r="7" spans="1:13" x14ac:dyDescent="0.25">
      <c r="A7" s="10" t="s">
        <v>15</v>
      </c>
      <c r="B7" s="10"/>
      <c r="C7" s="11"/>
      <c r="D7" s="12"/>
      <c r="E7" s="15" t="s">
        <v>16</v>
      </c>
      <c r="F7" s="16">
        <f>C6/210</f>
      </c>
      <c r="G7" s="16">
        <f>(C6/210)*0.35</f>
      </c>
      <c r="H7" s="16">
        <f>(C6/210)*1.25</f>
      </c>
      <c r="I7" s="16">
        <f>(C6/210)*1.75</f>
      </c>
      <c r="J7" s="16">
        <f>(C6/210)*1.9</f>
      </c>
      <c r="K7" s="16">
        <f>(C6/210)*2.15</f>
      </c>
      <c r="L7" s="16">
        <f>(C6/210)*2.65</f>
      </c>
      <c r="M7" s="16">
        <f>(C6/210)*2.25</f>
      </c>
    </row>
    <row r="8" spans="1:13" x14ac:dyDescent="0.25">
      <c r="A8" s="10" t="s">
        <v>6</v>
      </c>
      <c r="B8" s="10"/>
      <c r="C8" s="11">
        <f>G8</f>
      </c>
      <c r="D8" s="12"/>
      <c r="E8" s="17" t="s">
        <v>17</v>
      </c>
      <c r="F8" s="18">
        <f>C6</f>
      </c>
      <c r="G8" s="18">
        <f>G6*G7</f>
      </c>
      <c r="H8" s="18">
        <f>H6*H7</f>
      </c>
      <c r="I8" s="18">
        <f>I6*I7</f>
      </c>
      <c r="J8" s="18">
        <f>J6*J7</f>
      </c>
      <c r="K8" s="18">
        <f>K6*K7</f>
      </c>
      <c r="L8" s="18">
        <f>L6*L7</f>
      </c>
      <c r="M8" s="18">
        <f>M6*M7</f>
      </c>
    </row>
    <row r="9" spans="1:13" x14ac:dyDescent="0.25">
      <c r="A9" s="10" t="s">
        <v>7</v>
      </c>
      <c r="B9" s="10"/>
      <c r="C9" s="11">
        <f>H8</f>
      </c>
      <c r="D9" s="12"/>
      <c r="E9" s="19"/>
      <c r="F9" s="19"/>
      <c r="G9" s="19"/>
      <c r="H9" s="19"/>
      <c r="I9" s="19"/>
      <c r="J9" s="19"/>
      <c r="K9" s="19"/>
      <c r="L9" s="19"/>
      <c r="M9" s="19"/>
    </row>
    <row r="10" spans="1:13" x14ac:dyDescent="0.25">
      <c r="A10" s="10" t="s">
        <v>8</v>
      </c>
      <c r="B10" s="10"/>
      <c r="C10" s="11">
        <f>I8</f>
      </c>
      <c r="D10" s="12"/>
      <c r="E10" s="19"/>
      <c r="F10" s="19"/>
      <c r="G10" s="19"/>
      <c r="H10" s="19"/>
      <c r="I10" s="19"/>
      <c r="J10" s="19"/>
      <c r="K10" s="19"/>
      <c r="L10" s="19"/>
      <c r="M10" s="19"/>
    </row>
    <row r="11" spans="1:13" x14ac:dyDescent="0.25">
      <c r="A11" s="10" t="s">
        <v>9</v>
      </c>
      <c r="B11" s="10"/>
      <c r="C11" s="11">
        <f>J8</f>
      </c>
      <c r="D11" s="12"/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25">
      <c r="A12" s="10" t="s">
        <v>10</v>
      </c>
      <c r="B12" s="10"/>
      <c r="C12" s="11">
        <f>K8</f>
      </c>
      <c r="D12" s="12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25">
      <c r="A13" s="10" t="s">
        <v>11</v>
      </c>
      <c r="B13" s="10"/>
      <c r="C13" s="11">
        <f>L8</f>
      </c>
      <c r="D13" s="12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A14" s="10" t="s">
        <v>12</v>
      </c>
      <c r="B14" s="10"/>
      <c r="C14" s="11">
        <f>M8</f>
      </c>
      <c r="D14" s="12"/>
      <c r="E14" s="20"/>
      <c r="F14" s="20"/>
      <c r="G14" s="20"/>
      <c r="H14" s="21"/>
      <c r="I14" s="20"/>
      <c r="J14" s="20"/>
      <c r="K14" s="20"/>
      <c r="L14" s="20"/>
      <c r="M14" s="20"/>
    </row>
    <row r="15" spans="1:13" x14ac:dyDescent="0.25">
      <c r="A15" s="10" t="s">
        <v>18</v>
      </c>
      <c r="B15" s="10"/>
      <c r="C15" s="22">
        <f>SUM(C8:C14)</f>
      </c>
      <c r="D15" s="12"/>
      <c r="E15" s="20"/>
      <c r="F15" s="20"/>
      <c r="G15" s="20"/>
      <c r="H15" s="21"/>
      <c r="I15" s="20"/>
      <c r="J15" s="20"/>
      <c r="K15" s="20"/>
      <c r="L15" s="20"/>
      <c r="M15" s="20"/>
    </row>
    <row r="16" spans="1:13" x14ac:dyDescent="0.25">
      <c r="A16" s="10" t="s">
        <v>19</v>
      </c>
      <c r="B16" s="10"/>
      <c r="C16" s="11"/>
      <c r="D16" s="12"/>
      <c r="E16" s="20"/>
      <c r="F16" s="20"/>
      <c r="G16" s="20"/>
      <c r="H16" s="20"/>
      <c r="I16" s="20"/>
      <c r="J16" s="20"/>
      <c r="K16" s="20"/>
      <c r="L16" s="20"/>
      <c r="M16" s="20"/>
    </row>
    <row r="17" spans="1:13" x14ac:dyDescent="0.25">
      <c r="A17" s="23" t="s">
        <v>20</v>
      </c>
      <c r="B17" s="23"/>
      <c r="C17" s="24">
        <f>SUM(C6,C7,C15,C16)</f>
      </c>
      <c r="D17" s="12"/>
      <c r="E17" s="20"/>
      <c r="F17" s="20"/>
      <c r="G17" s="20"/>
      <c r="H17" s="20"/>
      <c r="I17" s="20"/>
      <c r="J17" s="20"/>
      <c r="K17" s="20"/>
      <c r="L17" s="20"/>
      <c r="M17" s="20"/>
    </row>
    <row r="18" spans="1:13" x14ac:dyDescent="0.25">
      <c r="A18" s="6" t="s">
        <v>21</v>
      </c>
      <c r="B18" s="6"/>
      <c r="C18" s="6"/>
      <c r="D18" s="12"/>
      <c r="E18" s="20"/>
      <c r="F18" s="20"/>
      <c r="G18" s="20"/>
      <c r="H18" s="20"/>
      <c r="I18" s="20"/>
      <c r="J18" s="20"/>
      <c r="K18" s="20"/>
      <c r="L18" s="20"/>
      <c r="M18" s="20"/>
    </row>
    <row r="19" spans="1:13" x14ac:dyDescent="0.25">
      <c r="A19" s="25" t="s">
        <v>2</v>
      </c>
      <c r="B19" s="26" t="s">
        <v>22</v>
      </c>
      <c r="C19" s="8" t="s">
        <v>3</v>
      </c>
      <c r="D19" s="12"/>
      <c r="E19" s="20"/>
      <c r="F19" s="20"/>
      <c r="G19" s="20"/>
      <c r="H19" s="20"/>
      <c r="I19" s="20"/>
      <c r="J19" s="20"/>
      <c r="K19" s="20"/>
      <c r="L19" s="20"/>
      <c r="M19" s="20"/>
    </row>
    <row r="20" spans="1:13" x14ac:dyDescent="0.25">
      <c r="A20" s="10" t="s">
        <v>23</v>
      </c>
      <c r="B20" s="27"/>
      <c r="C20" s="11">
        <f>B20*C17</f>
      </c>
      <c r="D20" s="12"/>
      <c r="E20" s="20"/>
      <c r="F20" s="20"/>
      <c r="G20" s="20"/>
      <c r="H20" s="20"/>
      <c r="I20" s="20"/>
      <c r="J20" s="20"/>
      <c r="K20" s="20"/>
      <c r="L20" s="20"/>
      <c r="M20" s="20"/>
    </row>
    <row r="21" spans="1:13" x14ac:dyDescent="0.25">
      <c r="A21" s="28" t="s">
        <v>24</v>
      </c>
      <c r="B21" s="27"/>
      <c r="C21" s="11">
        <f>B21*C17</f>
      </c>
      <c r="D21" s="12"/>
      <c r="E21" s="20"/>
      <c r="F21" s="20"/>
      <c r="G21" s="20"/>
      <c r="H21" s="20"/>
      <c r="I21" s="20"/>
      <c r="J21" s="20"/>
      <c r="K21" s="20"/>
      <c r="L21" s="20"/>
      <c r="M21" s="20"/>
    </row>
    <row r="22" spans="1:13" x14ac:dyDescent="0.25">
      <c r="A22" s="28" t="s">
        <v>25</v>
      </c>
      <c r="B22" s="27"/>
      <c r="C22" s="11">
        <f>B22*(C6+C7+C15)</f>
      </c>
      <c r="D22" s="12"/>
      <c r="E22" s="29"/>
      <c r="F22" s="20"/>
      <c r="G22" s="20"/>
      <c r="H22" s="20"/>
      <c r="I22" s="20"/>
      <c r="J22" s="20"/>
      <c r="K22" s="20"/>
      <c r="L22" s="20"/>
      <c r="M22" s="20"/>
    </row>
    <row r="23" spans="1:13" x14ac:dyDescent="0.25">
      <c r="A23" s="10" t="s">
        <v>26</v>
      </c>
      <c r="B23" s="27"/>
      <c r="C23" s="11">
        <f>B23*C17</f>
      </c>
      <c r="D23" s="12"/>
      <c r="E23" s="30"/>
      <c r="F23" s="20"/>
      <c r="G23" s="20"/>
      <c r="H23" s="20"/>
      <c r="I23" s="20"/>
      <c r="J23" s="20"/>
      <c r="K23" s="20"/>
      <c r="L23" s="20"/>
      <c r="M23" s="20"/>
    </row>
    <row r="24" spans="1:13" x14ac:dyDescent="0.25">
      <c r="A24" s="23" t="s">
        <v>27</v>
      </c>
      <c r="B24" s="23"/>
      <c r="C24" s="24">
        <f>SUM(C20:C23)</f>
      </c>
      <c r="D24" s="12"/>
      <c r="E24" s="20"/>
      <c r="F24" s="20"/>
      <c r="G24" s="20"/>
      <c r="H24" s="20"/>
      <c r="I24" s="20"/>
      <c r="J24" s="20"/>
      <c r="K24" s="20"/>
      <c r="L24" s="20"/>
      <c r="M24" s="20"/>
    </row>
    <row r="25" spans="1:13" x14ac:dyDescent="0.25">
      <c r="A25" s="6" t="s">
        <v>28</v>
      </c>
      <c r="B25" s="6"/>
      <c r="C25" s="6"/>
      <c r="D25" s="12"/>
      <c r="E25" s="31"/>
      <c r="F25" s="20"/>
      <c r="G25" s="20"/>
      <c r="H25" s="20"/>
      <c r="I25" s="20"/>
      <c r="J25" s="20"/>
      <c r="K25" s="20"/>
      <c r="L25" s="20"/>
      <c r="M25" s="20"/>
    </row>
    <row r="26" spans="1:13" x14ac:dyDescent="0.25">
      <c r="A26" s="25" t="s">
        <v>2</v>
      </c>
      <c r="B26" s="26" t="s">
        <v>22</v>
      </c>
      <c r="C26" s="8" t="s">
        <v>3</v>
      </c>
      <c r="D26" s="12"/>
      <c r="E26" s="31"/>
      <c r="F26" s="20"/>
      <c r="G26" s="20"/>
      <c r="H26" s="20"/>
      <c r="I26" s="20"/>
      <c r="J26" s="20"/>
      <c r="K26" s="20"/>
      <c r="L26" s="20"/>
      <c r="M26" s="20"/>
    </row>
    <row r="27" spans="1:13" x14ac:dyDescent="0.25">
      <c r="A27" s="10" t="s">
        <v>29</v>
      </c>
      <c r="B27" s="27"/>
      <c r="C27" s="11">
        <f>B27*(C6+C7+C15)</f>
      </c>
      <c r="D27" s="12"/>
      <c r="E27" s="31"/>
      <c r="F27" s="20"/>
      <c r="G27" s="20"/>
      <c r="H27" s="20"/>
      <c r="I27" s="20"/>
      <c r="J27" s="20"/>
      <c r="K27" s="20"/>
      <c r="L27" s="20"/>
      <c r="M27" s="20"/>
    </row>
    <row r="28" spans="1:13" x14ac:dyDescent="0.25">
      <c r="A28" s="10" t="s">
        <v>30</v>
      </c>
      <c r="B28" s="27"/>
      <c r="C28" s="11">
        <f>B28*(C6+C7+C15)</f>
      </c>
      <c r="D28" s="32"/>
      <c r="E28" s="31"/>
      <c r="F28" s="20"/>
      <c r="G28" s="20"/>
      <c r="H28" s="20"/>
      <c r="I28" s="20"/>
      <c r="J28" s="20"/>
      <c r="K28" s="20"/>
      <c r="L28" s="20"/>
      <c r="M28" s="20"/>
    </row>
    <row r="29" spans="1:13" x14ac:dyDescent="0.25">
      <c r="A29" s="28" t="s">
        <v>31</v>
      </c>
      <c r="B29" s="27"/>
      <c r="C29" s="11">
        <f>B29*(C6+C7+C15)</f>
      </c>
      <c r="D29" s="33"/>
      <c r="E29" s="31"/>
      <c r="F29" s="20"/>
      <c r="G29" s="20"/>
      <c r="H29" s="20"/>
      <c r="I29" s="20"/>
      <c r="J29" s="20"/>
      <c r="K29" s="20"/>
      <c r="L29" s="20"/>
      <c r="M29" s="20"/>
    </row>
    <row r="30" spans="1:13" x14ac:dyDescent="0.25">
      <c r="A30" s="23" t="s">
        <v>32</v>
      </c>
      <c r="B30" s="23"/>
      <c r="C30" s="24">
        <f>SUM(C27:C29)</f>
      </c>
      <c r="D30" s="12"/>
      <c r="E30" s="20"/>
      <c r="F30" s="20"/>
      <c r="G30" s="20"/>
      <c r="H30" s="20"/>
      <c r="I30" s="20"/>
      <c r="J30" s="20"/>
      <c r="K30" s="20"/>
      <c r="L30" s="20"/>
      <c r="M30" s="20"/>
    </row>
    <row r="31" spans="1:13" x14ac:dyDescent="0.25">
      <c r="A31" s="6" t="s">
        <v>33</v>
      </c>
      <c r="B31" s="6"/>
      <c r="C31" s="6"/>
      <c r="D31" s="12"/>
      <c r="E31" s="20"/>
      <c r="F31" s="20"/>
      <c r="G31" s="20"/>
      <c r="H31" s="20"/>
      <c r="I31" s="20"/>
      <c r="J31" s="20"/>
      <c r="K31" s="20"/>
      <c r="L31" s="20"/>
      <c r="M31" s="20"/>
    </row>
    <row r="32" spans="1:13" x14ac:dyDescent="0.25">
      <c r="A32" s="25" t="s">
        <v>2</v>
      </c>
      <c r="B32" s="26" t="s">
        <v>22</v>
      </c>
      <c r="C32" s="8" t="s">
        <v>3</v>
      </c>
      <c r="D32" s="12"/>
      <c r="E32" s="20"/>
      <c r="F32" s="20"/>
      <c r="G32" s="20"/>
      <c r="H32" s="20"/>
      <c r="I32" s="20"/>
      <c r="J32" s="20"/>
      <c r="K32" s="20"/>
      <c r="L32" s="20"/>
      <c r="M32" s="20"/>
    </row>
    <row r="33" spans="1:13" x14ac:dyDescent="0.25">
      <c r="A33" s="10" t="s">
        <v>34</v>
      </c>
      <c r="B33" s="27"/>
      <c r="C33" s="11">
        <f>B33*(C6+C7+C15+C22)</f>
      </c>
      <c r="D33" s="12"/>
      <c r="E33" s="20"/>
      <c r="F33" s="20"/>
      <c r="G33" s="20"/>
      <c r="H33" s="20"/>
      <c r="I33" s="20"/>
      <c r="J33" s="20"/>
      <c r="K33" s="20"/>
      <c r="L33" s="20"/>
      <c r="M33" s="20"/>
    </row>
    <row r="34" spans="1:13" x14ac:dyDescent="0.25">
      <c r="A34" s="10" t="s">
        <v>35</v>
      </c>
      <c r="B34" s="27"/>
      <c r="C34" s="11">
        <f>B34*(C6+C7+C15)</f>
      </c>
      <c r="D34" s="12"/>
      <c r="E34" s="20"/>
      <c r="F34" s="20"/>
      <c r="G34" s="20"/>
      <c r="H34" s="20"/>
      <c r="I34" s="20"/>
      <c r="J34" s="20"/>
      <c r="K34" s="20"/>
      <c r="L34" s="20"/>
      <c r="M34" s="20"/>
    </row>
    <row r="35" spans="1:13" x14ac:dyDescent="0.25">
      <c r="A35" s="28" t="s">
        <v>36</v>
      </c>
      <c r="B35" s="27"/>
      <c r="C35" s="11">
        <f>B35*(C6+C7+C15)</f>
      </c>
      <c r="D35" s="12"/>
      <c r="E35" s="20"/>
      <c r="F35" s="20"/>
      <c r="G35" s="20"/>
      <c r="H35" s="20"/>
      <c r="I35" s="20"/>
      <c r="J35" s="20"/>
      <c r="K35" s="20"/>
      <c r="L35" s="20"/>
      <c r="M35" s="20"/>
    </row>
    <row r="36" spans="1:13" x14ac:dyDescent="0.25">
      <c r="A36" s="23" t="s">
        <v>37</v>
      </c>
      <c r="B36" s="23"/>
      <c r="C36" s="24">
        <f>SUM(C33:C35)</f>
      </c>
      <c r="D36" s="12"/>
      <c r="E36" s="20"/>
      <c r="F36" s="20"/>
      <c r="G36" s="20"/>
      <c r="H36" s="20"/>
      <c r="I36" s="20"/>
      <c r="J36" s="20"/>
      <c r="K36" s="20"/>
      <c r="L36" s="20"/>
      <c r="M36" s="20"/>
    </row>
    <row r="37" spans="1:13" x14ac:dyDescent="0.25">
      <c r="A37" s="6" t="s">
        <v>38</v>
      </c>
      <c r="B37" s="6"/>
      <c r="C37" s="6"/>
      <c r="D37" s="12"/>
      <c r="E37" s="20"/>
      <c r="F37" s="20"/>
      <c r="G37" s="20"/>
      <c r="H37" s="20"/>
      <c r="I37" s="20"/>
      <c r="J37" s="20"/>
      <c r="K37" s="20"/>
      <c r="L37" s="20"/>
      <c r="M37" s="20"/>
    </row>
    <row r="38" spans="1:13" x14ac:dyDescent="0.25">
      <c r="A38" s="28" t="s">
        <v>39</v>
      </c>
      <c r="B38" s="34"/>
      <c r="C38" s="11"/>
      <c r="D38" s="12"/>
      <c r="E38" s="20"/>
      <c r="F38" s="20"/>
      <c r="G38" s="20"/>
      <c r="H38" s="20"/>
      <c r="I38" s="20"/>
      <c r="J38" s="20"/>
      <c r="K38" s="20"/>
      <c r="L38" s="20"/>
      <c r="M38" s="20"/>
    </row>
    <row r="39" spans="1:13" x14ac:dyDescent="0.25">
      <c r="A39" s="28" t="s">
        <v>40</v>
      </c>
      <c r="B39" s="34"/>
      <c r="C39" s="11"/>
      <c r="D39" s="12"/>
      <c r="E39" s="20"/>
      <c r="F39" s="20"/>
      <c r="G39" s="20"/>
      <c r="H39" s="20"/>
      <c r="I39" s="20"/>
      <c r="J39" s="20"/>
      <c r="K39" s="20"/>
      <c r="L39" s="20"/>
      <c r="M39" s="20"/>
    </row>
    <row r="40" spans="1:13" x14ac:dyDescent="0.25">
      <c r="A40" s="28" t="s">
        <v>41</v>
      </c>
      <c r="B40" s="34"/>
      <c r="C40" s="11"/>
      <c r="D40" s="12"/>
      <c r="E40" s="20"/>
      <c r="F40" s="20"/>
      <c r="G40" s="20"/>
      <c r="H40" s="20"/>
      <c r="I40" s="20"/>
      <c r="J40" s="20"/>
      <c r="K40" s="20"/>
      <c r="L40" s="20"/>
      <c r="M40" s="20"/>
    </row>
    <row r="41" spans="1:13" x14ac:dyDescent="0.25">
      <c r="A41" s="28" t="s">
        <v>42</v>
      </c>
      <c r="B41" s="34"/>
      <c r="C41" s="11"/>
      <c r="D41" s="12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25">
      <c r="A42" s="28" t="s">
        <v>43</v>
      </c>
      <c r="B42" s="34"/>
      <c r="C42" s="11"/>
      <c r="D42" s="12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25">
      <c r="A43" s="23" t="s">
        <v>44</v>
      </c>
      <c r="B43" s="23"/>
      <c r="C43" s="24">
        <f>SUM(C38:C42)</f>
      </c>
      <c r="D43" s="12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25">
      <c r="A44" s="6" t="s">
        <v>45</v>
      </c>
      <c r="B44" s="6"/>
      <c r="C44" s="6"/>
      <c r="D44" s="12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25">
      <c r="A45" s="35" t="s">
        <v>46</v>
      </c>
      <c r="B45" s="35"/>
      <c r="C45" s="36"/>
      <c r="D45" s="12"/>
      <c r="E45" s="20"/>
      <c r="F45" s="20"/>
      <c r="G45" s="20"/>
      <c r="H45" s="20"/>
      <c r="I45" s="20"/>
      <c r="J45" s="20"/>
      <c r="K45" s="20"/>
      <c r="L45" s="20"/>
      <c r="M45" s="20"/>
    </row>
    <row r="46" spans="1:13" x14ac:dyDescent="0.25">
      <c r="A46" s="35" t="s">
        <v>47</v>
      </c>
      <c r="B46" s="35"/>
      <c r="C46" s="36"/>
      <c r="D46" s="12"/>
      <c r="E46" s="20"/>
      <c r="F46" s="20"/>
      <c r="G46" s="20"/>
      <c r="H46" s="20"/>
      <c r="I46" s="20"/>
      <c r="J46" s="20"/>
      <c r="K46" s="20"/>
      <c r="L46" s="20"/>
      <c r="M46" s="20"/>
    </row>
    <row r="47" spans="1:13" x14ac:dyDescent="0.25">
      <c r="A47" s="35" t="s">
        <v>48</v>
      </c>
      <c r="B47" s="35"/>
      <c r="C47" s="36"/>
      <c r="D47" s="12"/>
      <c r="E47" s="20"/>
      <c r="F47" s="20"/>
      <c r="G47" s="20"/>
      <c r="H47" s="20"/>
      <c r="I47" s="20"/>
      <c r="J47" s="20"/>
      <c r="K47" s="20"/>
      <c r="L47" s="20"/>
      <c r="M47" s="20"/>
    </row>
    <row r="48" spans="1:13" x14ac:dyDescent="0.25">
      <c r="A48" s="35" t="s">
        <v>49</v>
      </c>
      <c r="B48" s="35"/>
      <c r="C48" s="36"/>
      <c r="D48" s="12"/>
      <c r="E48" s="20"/>
      <c r="F48" s="20"/>
      <c r="G48" s="20"/>
      <c r="H48" s="20"/>
      <c r="I48" s="20"/>
      <c r="J48" s="20"/>
      <c r="K48" s="20"/>
      <c r="L48" s="20"/>
      <c r="M48" s="20"/>
    </row>
    <row r="49" spans="1:13" x14ac:dyDescent="0.25">
      <c r="A49" s="23" t="s">
        <v>50</v>
      </c>
      <c r="B49" s="23"/>
      <c r="C49" s="24">
        <f>SUM(C45:C48)</f>
      </c>
      <c r="D49" s="12"/>
      <c r="E49" s="20"/>
      <c r="F49" s="20"/>
      <c r="G49" s="20"/>
      <c r="H49" s="20"/>
      <c r="I49" s="20"/>
      <c r="J49" s="20"/>
      <c r="K49" s="20"/>
      <c r="L49" s="20"/>
      <c r="M49" s="20"/>
    </row>
    <row r="50" spans="1:13" x14ac:dyDescent="0.25">
      <c r="A50" s="23" t="s">
        <v>51</v>
      </c>
      <c r="B50" s="23"/>
      <c r="C50" s="24">
        <f>SUM(C17,C24,C30,C36,C43,C49)</f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37" t="s">
        <v>52</v>
      </c>
      <c r="B51" s="37"/>
      <c r="C51" s="38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23" t="s">
        <v>51</v>
      </c>
      <c r="B52" s="23"/>
      <c r="C52" s="24">
        <f>C50*C51</f>
      </c>
      <c r="D52" s="1"/>
      <c r="E52" s="1"/>
      <c r="F52" s="1"/>
      <c r="G52" s="1"/>
      <c r="H52" s="1"/>
      <c r="I52" s="1"/>
      <c r="J52" s="1"/>
      <c r="K52" s="1"/>
      <c r="L52" s="1"/>
      <c r="M52" s="1"/>
    </row>
  </sheetData>
  <mergeCells count="34">
    <mergeCell ref="A1:C1"/>
    <mergeCell ref="A2:C2"/>
    <mergeCell ref="A3:C3"/>
    <mergeCell ref="A4:C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C18"/>
    <mergeCell ref="A24:B24"/>
    <mergeCell ref="A25:C25"/>
    <mergeCell ref="A30:B30"/>
    <mergeCell ref="A31:C31"/>
    <mergeCell ref="A36:B36"/>
    <mergeCell ref="A37:C37"/>
    <mergeCell ref="A43:B43"/>
    <mergeCell ref="A44:C44"/>
    <mergeCell ref="A45:B45"/>
    <mergeCell ref="A46:B46"/>
    <mergeCell ref="A47:B47"/>
    <mergeCell ref="A48:B48"/>
    <mergeCell ref="A49:B49"/>
    <mergeCell ref="A50:B50"/>
    <mergeCell ref="A51:B51"/>
    <mergeCell ref="A52:B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Mano de Obra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Licitaciones3</dc:creator>
  <cp:lastModifiedBy>Analista Licitaciones3</cp:lastModifiedBy>
  <dcterms:created xsi:type="dcterms:W3CDTF">2026-08-06T21:46:38Z</dcterms:created>
  <dcterms:modified xsi:type="dcterms:W3CDTF">2026-08-06T22:18:48Z</dcterms:modified>
</cp:coreProperties>
</file>